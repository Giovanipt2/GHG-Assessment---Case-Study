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ownloads\"/>
    </mc:Choice>
  </mc:AlternateContent>
  <xr:revisionPtr revIDLastSave="0" documentId="13_ncr:1_{55174B98-6D5A-410C-9C9F-0222E7A9F375}" xr6:coauthVersionLast="47" xr6:coauthVersionMax="47" xr10:uidLastSave="{00000000-0000-0000-0000-000000000000}"/>
  <bookViews>
    <workbookView xWindow="-120" yWindow="-120" windowWidth="29040" windowHeight="16440" xr2:uid="{1B02F3DB-BFCC-43AA-9BCA-92C35AB6B3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  <c r="B15" i="1"/>
  <c r="J4" i="1"/>
  <c r="H2" i="1"/>
  <c r="J2" i="1" s="1"/>
  <c r="H3" i="1"/>
  <c r="J3" i="1" s="1"/>
  <c r="H4" i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H16" i="1"/>
  <c r="J16" i="1" s="1"/>
  <c r="H17" i="1"/>
  <c r="J17" i="1" s="1"/>
  <c r="H18" i="1"/>
  <c r="J18" i="1" s="1"/>
  <c r="H19" i="1"/>
  <c r="J19" i="1" s="1"/>
  <c r="J15" i="1" l="1"/>
</calcChain>
</file>

<file path=xl/sharedStrings.xml><?xml version="1.0" encoding="utf-8"?>
<sst xmlns="http://schemas.openxmlformats.org/spreadsheetml/2006/main" count="83" uniqueCount="45">
  <si>
    <t>Emission factor</t>
  </si>
  <si>
    <t>Activity data</t>
  </si>
  <si>
    <t>Value</t>
  </si>
  <si>
    <t>Marketing budget</t>
  </si>
  <si>
    <t>Training budget</t>
  </si>
  <si>
    <t>Team building</t>
  </si>
  <si>
    <t>Accomodation</t>
  </si>
  <si>
    <t>Insurance</t>
  </si>
  <si>
    <t>Other consultancy fees</t>
  </si>
  <si>
    <t>Office equipment</t>
  </si>
  <si>
    <t>Cars (thermal)</t>
  </si>
  <si>
    <t>E-cars</t>
  </si>
  <si>
    <t>Fuel consumption</t>
  </si>
  <si>
    <t>Electricity consumption (office)</t>
  </si>
  <si>
    <t>Electricity consumption (vehicles)</t>
  </si>
  <si>
    <t>Unit</t>
  </si>
  <si>
    <t>k€</t>
  </si>
  <si>
    <t>L</t>
  </si>
  <si>
    <t>kWh</t>
  </si>
  <si>
    <t>units</t>
  </si>
  <si>
    <t>kgCO2e/unit</t>
  </si>
  <si>
    <t>Email sent</t>
  </si>
  <si>
    <t>kgCO2e/k€</t>
  </si>
  <si>
    <t>Data Stored</t>
  </si>
  <si>
    <t>GB</t>
  </si>
  <si>
    <t>Online meeting</t>
  </si>
  <si>
    <t>Laptops</t>
  </si>
  <si>
    <t>Printer</t>
  </si>
  <si>
    <t>kgCO2e/L</t>
  </si>
  <si>
    <t>kgCO2e/kWh</t>
  </si>
  <si>
    <t>kgCO2e/GB</t>
  </si>
  <si>
    <t>kgCO2e/Minute</t>
  </si>
  <si>
    <t>Scope</t>
  </si>
  <si>
    <t>Waste</t>
  </si>
  <si>
    <t>kgCO2e/FTE</t>
  </si>
  <si>
    <t>Employees</t>
  </si>
  <si>
    <t>GHG Emissions</t>
  </si>
  <si>
    <t>Unit2</t>
  </si>
  <si>
    <t>Unit3</t>
  </si>
  <si>
    <t>Udata</t>
  </si>
  <si>
    <t>Upost</t>
  </si>
  <si>
    <t>Ufe</t>
  </si>
  <si>
    <t>emails (in a year)</t>
  </si>
  <si>
    <t>minutes (in a year)</t>
  </si>
  <si>
    <t>kgCO2eq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</si>
</sst>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urrency" xfId="1" builtinId="4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15AA6-63BA-475E-A59A-24EC3F2BD3AB}" name="Tableau1" displayName="Tableau1" ref="A1:K19" totalsRowShown="0">
  <autoFilter ref="A1:K19" xr:uid="{37315AA6-63BA-475E-A59A-24EC3F2BD3AB}"/>
  <tableColumns count="11">
    <tableColumn id="1" xr3:uid="{F1814DA1-0577-43A8-840A-2E183B7B694C}" name="Activity data"/>
    <tableColumn id="2" xr3:uid="{672CFEC7-2DCD-4DA2-8241-9B7927D2886A}" name="Value"/>
    <tableColumn id="3" xr3:uid="{0A486BE1-0935-4740-9D8C-CAEB2DB620C8}" name="Unit"/>
    <tableColumn id="4" xr3:uid="{C5D825FD-1228-4ABA-A497-BF594B12AD11}" name="Emission factor"/>
    <tableColumn id="5" xr3:uid="{0C77D888-369E-42E9-AB50-476760B1695E}" name="Unit2"/>
    <tableColumn id="6" xr3:uid="{806435E8-F44C-4773-A8F7-960181F22B08}" name="Ufe"/>
    <tableColumn id="7" xr3:uid="{AD03842E-8651-4FB7-AA77-6B681DFAAE19}" name="Udata"/>
    <tableColumn id="8" xr3:uid="{6D6F3919-CD88-4B56-9F65-556E9C1E18E8}" name="Upost" dataDxfId="1">
      <calculatedColumnFormula>SQRT(Tableau1[[#This Row],[Ufe]]^2+Tableau1[[#This Row],[Udata]]^2)</calculatedColumnFormula>
    </tableColumn>
    <tableColumn id="9" xr3:uid="{46B3DF8E-184F-4314-B2C5-6F81F4918552}" name="Scope"/>
    <tableColumn id="11" xr3:uid="{7620E9FC-12E8-4186-AC92-D8DF854CB070}" name="GHG Emissions" dataDxfId="0">
      <calculatedColumnFormula>B2*D2*Tableau1[[#This Row],[Upost]]</calculatedColumnFormula>
    </tableColumn>
    <tableColumn id="12" xr3:uid="{AEE79699-6576-4502-A0C4-D3AD1985A5C0}" name="Unit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B6AC-1A86-4683-A271-3579BB94CEC8}">
  <dimension ref="A1:K19"/>
  <sheetViews>
    <sheetView tabSelected="1" workbookViewId="0">
      <selection activeCell="H31" sqref="A21:H31"/>
    </sheetView>
  </sheetViews>
  <sheetFormatPr defaultColWidth="11.42578125" defaultRowHeight="15" x14ac:dyDescent="0.25"/>
  <cols>
    <col min="1" max="1" width="27.42578125" bestFit="1" customWidth="1"/>
    <col min="2" max="2" width="12.7109375" bestFit="1" customWidth="1"/>
    <col min="3" max="3" width="17.85546875" bestFit="1" customWidth="1"/>
    <col min="4" max="5" width="23.42578125" customWidth="1"/>
    <col min="6" max="6" width="24.28515625" customWidth="1"/>
    <col min="8" max="8" width="14.85546875" customWidth="1"/>
    <col min="16384" max="16384" width="10.7109375" bestFit="1" customWidth="1"/>
  </cols>
  <sheetData>
    <row r="1" spans="1:11" x14ac:dyDescent="0.25">
      <c r="A1" t="s">
        <v>1</v>
      </c>
      <c r="B1" t="s">
        <v>2</v>
      </c>
      <c r="C1" t="s">
        <v>15</v>
      </c>
      <c r="D1" t="s">
        <v>0</v>
      </c>
      <c r="E1" t="s">
        <v>37</v>
      </c>
      <c r="F1" t="s">
        <v>41</v>
      </c>
      <c r="G1" t="s">
        <v>39</v>
      </c>
      <c r="H1" t="s">
        <v>40</v>
      </c>
      <c r="I1" t="s">
        <v>32</v>
      </c>
      <c r="J1" t="s">
        <v>36</v>
      </c>
      <c r="K1" t="s">
        <v>38</v>
      </c>
    </row>
    <row r="2" spans="1:11" x14ac:dyDescent="0.25">
      <c r="A2" t="s">
        <v>33</v>
      </c>
      <c r="B2">
        <v>179</v>
      </c>
      <c r="C2" t="s">
        <v>35</v>
      </c>
      <c r="D2">
        <v>32.409999999999997</v>
      </c>
      <c r="E2" t="s">
        <v>34</v>
      </c>
      <c r="F2">
        <v>0.5</v>
      </c>
      <c r="G2">
        <v>0.05</v>
      </c>
      <c r="H2">
        <f>SQRT(Tableau1[[#This Row],[Ufe]]^2+Tableau1[[#This Row],[Udata]]^2)</f>
        <v>0.50249378105604448</v>
      </c>
      <c r="I2">
        <v>3</v>
      </c>
      <c r="J2">
        <f>B2*D2*Tableau1[[#This Row],[Upost]]</f>
        <v>2915.1623964807254</v>
      </c>
      <c r="K2" t="s">
        <v>44</v>
      </c>
    </row>
    <row r="3" spans="1:11" x14ac:dyDescent="0.25">
      <c r="A3" t="s">
        <v>3</v>
      </c>
      <c r="B3">
        <v>100</v>
      </c>
      <c r="C3" t="s">
        <v>16</v>
      </c>
      <c r="D3">
        <v>170</v>
      </c>
      <c r="E3" t="s">
        <v>22</v>
      </c>
      <c r="F3">
        <v>0.8</v>
      </c>
      <c r="G3">
        <v>0.1</v>
      </c>
      <c r="H3">
        <f>SQRT(Tableau1[[#This Row],[Ufe]]^2+Tableau1[[#This Row],[Udata]]^2)</f>
        <v>0.80622577482985502</v>
      </c>
      <c r="I3">
        <v>3</v>
      </c>
      <c r="J3">
        <f>B3*D3*Tableau1[[#This Row],[Upost]]</f>
        <v>13705.838172107535</v>
      </c>
      <c r="K3" t="s">
        <v>44</v>
      </c>
    </row>
    <row r="4" spans="1:11" x14ac:dyDescent="0.25">
      <c r="A4" t="s">
        <v>4</v>
      </c>
      <c r="B4">
        <v>67</v>
      </c>
      <c r="C4" t="s">
        <v>16</v>
      </c>
      <c r="D4">
        <v>120</v>
      </c>
      <c r="E4" t="s">
        <v>22</v>
      </c>
      <c r="F4">
        <v>0.8</v>
      </c>
      <c r="G4">
        <v>0.1</v>
      </c>
      <c r="H4">
        <f>SQRT(Tableau1[[#This Row],[Ufe]]^2+Tableau1[[#This Row],[Udata]]^2)</f>
        <v>0.80622577482985502</v>
      </c>
      <c r="I4">
        <v>3</v>
      </c>
      <c r="J4">
        <f>B4*D4*Tableau1[[#This Row],[Upost]]</f>
        <v>6482.0552296320348</v>
      </c>
      <c r="K4" t="s">
        <v>44</v>
      </c>
    </row>
    <row r="5" spans="1:11" x14ac:dyDescent="0.25">
      <c r="A5" t="s">
        <v>5</v>
      </c>
      <c r="B5">
        <v>5</v>
      </c>
      <c r="C5" t="s">
        <v>16</v>
      </c>
      <c r="D5">
        <v>270</v>
      </c>
      <c r="E5" t="s">
        <v>22</v>
      </c>
      <c r="F5">
        <v>0.8</v>
      </c>
      <c r="G5">
        <v>0.1</v>
      </c>
      <c r="H5">
        <f>SQRT(Tableau1[[#This Row],[Ufe]]^2+Tableau1[[#This Row],[Udata]]^2)</f>
        <v>0.80622577482985502</v>
      </c>
      <c r="I5">
        <v>3</v>
      </c>
      <c r="J5">
        <f>B5*D5*Tableau1[[#This Row],[Upost]]</f>
        <v>1088.4047960203043</v>
      </c>
      <c r="K5" t="s">
        <v>44</v>
      </c>
    </row>
    <row r="6" spans="1:11" x14ac:dyDescent="0.25">
      <c r="A6" t="s">
        <v>6</v>
      </c>
      <c r="B6">
        <v>6</v>
      </c>
      <c r="C6" t="s">
        <v>16</v>
      </c>
      <c r="D6">
        <v>320</v>
      </c>
      <c r="E6" t="s">
        <v>22</v>
      </c>
      <c r="F6">
        <v>0.3</v>
      </c>
      <c r="G6">
        <v>0.05</v>
      </c>
      <c r="H6">
        <f>SQRT(Tableau1[[#This Row],[Ufe]]^2+Tableau1[[#This Row],[Udata]]^2)</f>
        <v>0.30413812651491096</v>
      </c>
      <c r="I6">
        <v>3</v>
      </c>
      <c r="J6">
        <f>B6*D6*Tableau1[[#This Row],[Upost]]</f>
        <v>583.94520290862908</v>
      </c>
      <c r="K6" t="s">
        <v>44</v>
      </c>
    </row>
    <row r="7" spans="1:11" x14ac:dyDescent="0.25">
      <c r="A7" t="s">
        <v>7</v>
      </c>
      <c r="B7">
        <v>110</v>
      </c>
      <c r="C7" t="s">
        <v>16</v>
      </c>
      <c r="D7">
        <v>110</v>
      </c>
      <c r="E7" t="s">
        <v>22</v>
      </c>
      <c r="F7">
        <v>0.8</v>
      </c>
      <c r="G7">
        <v>0.05</v>
      </c>
      <c r="H7">
        <f>SQRT(Tableau1[[#This Row],[Ufe]]^2+Tableau1[[#This Row],[Udata]]^2)</f>
        <v>0.80156097709406993</v>
      </c>
      <c r="I7">
        <v>3</v>
      </c>
      <c r="J7">
        <f>B7*D7*Tableau1[[#This Row],[Upost]]</f>
        <v>9698.8878228382455</v>
      </c>
      <c r="K7" t="s">
        <v>44</v>
      </c>
    </row>
    <row r="8" spans="1:11" x14ac:dyDescent="0.25">
      <c r="A8" t="s">
        <v>8</v>
      </c>
      <c r="B8">
        <v>687</v>
      </c>
      <c r="C8" t="s">
        <v>16</v>
      </c>
      <c r="D8">
        <v>110</v>
      </c>
      <c r="E8" t="s">
        <v>22</v>
      </c>
      <c r="F8">
        <v>0.8</v>
      </c>
      <c r="G8">
        <v>0.05</v>
      </c>
      <c r="H8">
        <f>SQRT(Tableau1[[#This Row],[Ufe]]^2+Tableau1[[#This Row],[Udata]]^2)</f>
        <v>0.80156097709406993</v>
      </c>
      <c r="I8">
        <v>3</v>
      </c>
      <c r="J8">
        <f>B8*D8*Tableau1[[#This Row],[Upost]]</f>
        <v>60573.963038998867</v>
      </c>
      <c r="K8" t="s">
        <v>44</v>
      </c>
    </row>
    <row r="9" spans="1:11" x14ac:dyDescent="0.25">
      <c r="A9" t="s">
        <v>9</v>
      </c>
      <c r="B9">
        <v>3.5</v>
      </c>
      <c r="C9" t="s">
        <v>16</v>
      </c>
      <c r="D9">
        <v>500</v>
      </c>
      <c r="E9" t="s">
        <v>22</v>
      </c>
      <c r="F9">
        <v>0.8</v>
      </c>
      <c r="G9">
        <v>0.1</v>
      </c>
      <c r="H9">
        <f>SQRT(Tableau1[[#This Row],[Ufe]]^2+Tableau1[[#This Row],[Udata]]^2)</f>
        <v>0.80622577482985502</v>
      </c>
      <c r="I9">
        <v>3</v>
      </c>
      <c r="J9">
        <f>B9*D9*Tableau1[[#This Row],[Upost]]</f>
        <v>1410.8951059522462</v>
      </c>
      <c r="K9" t="s">
        <v>44</v>
      </c>
    </row>
    <row r="10" spans="1:11" x14ac:dyDescent="0.25">
      <c r="A10" t="s">
        <v>10</v>
      </c>
      <c r="B10">
        <v>27</v>
      </c>
      <c r="C10" t="s">
        <v>19</v>
      </c>
      <c r="D10">
        <v>8624</v>
      </c>
      <c r="E10" t="s">
        <v>20</v>
      </c>
      <c r="F10">
        <v>0.6</v>
      </c>
      <c r="G10">
        <v>0.05</v>
      </c>
      <c r="H10">
        <f>SQRT(Tableau1[[#This Row],[Ufe]]^2+Tableau1[[#This Row],[Udata]]^2)</f>
        <v>0.60207972893961481</v>
      </c>
      <c r="I10">
        <v>3</v>
      </c>
      <c r="J10">
        <f>B10*D10*Tableau1[[#This Row],[Upost]]</f>
        <v>140193.06072413144</v>
      </c>
      <c r="K10" t="s">
        <v>44</v>
      </c>
    </row>
    <row r="11" spans="1:11" x14ac:dyDescent="0.25">
      <c r="A11" t="s">
        <v>11</v>
      </c>
      <c r="B11">
        <v>9</v>
      </c>
      <c r="C11" t="s">
        <v>19</v>
      </c>
      <c r="D11">
        <v>13464</v>
      </c>
      <c r="E11" t="s">
        <v>20</v>
      </c>
      <c r="F11">
        <v>0.7</v>
      </c>
      <c r="G11">
        <v>0.05</v>
      </c>
      <c r="H11">
        <f>SQRT(Tableau1[[#This Row],[Ufe]]^2+Tableau1[[#This Row],[Udata]]^2)</f>
        <v>0.70178344238090995</v>
      </c>
      <c r="I11">
        <v>3</v>
      </c>
      <c r="J11">
        <f>B11*D11*Tableau1[[#This Row],[Upost]]</f>
        <v>85039.310413949148</v>
      </c>
      <c r="K11" t="s">
        <v>44</v>
      </c>
    </row>
    <row r="12" spans="1:11" x14ac:dyDescent="0.25">
      <c r="A12" t="s">
        <v>12</v>
      </c>
      <c r="B12">
        <v>150000</v>
      </c>
      <c r="C12" t="s">
        <v>17</v>
      </c>
      <c r="D12">
        <v>2.7</v>
      </c>
      <c r="E12" t="s">
        <v>28</v>
      </c>
      <c r="F12">
        <v>0.1</v>
      </c>
      <c r="G12">
        <v>0.05</v>
      </c>
      <c r="H12">
        <f>SQRT(Tableau1[[#This Row],[Ufe]]^2+Tableau1[[#This Row],[Udata]]^2)</f>
        <v>0.1118033988749895</v>
      </c>
      <c r="I12">
        <v>1</v>
      </c>
      <c r="J12">
        <f>B12*D12*Tableau1[[#This Row],[Upost]]</f>
        <v>45280.376544370745</v>
      </c>
      <c r="K12" t="s">
        <v>44</v>
      </c>
    </row>
    <row r="13" spans="1:11" x14ac:dyDescent="0.25">
      <c r="A13" t="s">
        <v>13</v>
      </c>
      <c r="B13">
        <v>118542</v>
      </c>
      <c r="C13" t="s">
        <v>18</v>
      </c>
      <c r="D13">
        <v>0.22</v>
      </c>
      <c r="E13" t="s">
        <v>29</v>
      </c>
      <c r="F13">
        <v>0.7</v>
      </c>
      <c r="G13">
        <v>0.05</v>
      </c>
      <c r="H13">
        <f>SQRT(Tableau1[[#This Row],[Ufe]]^2+Tableau1[[#This Row],[Udata]]^2)</f>
        <v>0.70178344238090995</v>
      </c>
      <c r="I13">
        <v>2</v>
      </c>
      <c r="J13">
        <f>B13*D13*Tableau1[[#This Row],[Upost]]</f>
        <v>18301.978821877925</v>
      </c>
      <c r="K13" t="s">
        <v>44</v>
      </c>
    </row>
    <row r="14" spans="1:11" x14ac:dyDescent="0.25">
      <c r="A14" t="s">
        <v>14</v>
      </c>
      <c r="B14">
        <v>52850</v>
      </c>
      <c r="C14" t="s">
        <v>18</v>
      </c>
      <c r="D14">
        <v>0.22</v>
      </c>
      <c r="E14" t="s">
        <v>29</v>
      </c>
      <c r="F14">
        <v>0.1</v>
      </c>
      <c r="G14">
        <v>0.05</v>
      </c>
      <c r="H14">
        <f>SQRT(Tableau1[[#This Row],[Ufe]]^2+Tableau1[[#This Row],[Udata]]^2)</f>
        <v>0.1118033988749895</v>
      </c>
      <c r="I14">
        <v>2</v>
      </c>
      <c r="J14">
        <f>B14*D14*Tableau1[[#This Row],[Upost]]</f>
        <v>1299.9381187195029</v>
      </c>
      <c r="K14" t="s">
        <v>44</v>
      </c>
    </row>
    <row r="15" spans="1:11" x14ac:dyDescent="0.25">
      <c r="A15" t="s">
        <v>21</v>
      </c>
      <c r="B15">
        <f>34000*4</f>
        <v>136000</v>
      </c>
      <c r="C15" t="s">
        <v>42</v>
      </c>
      <c r="D15">
        <v>4.0000000000000001E-3</v>
      </c>
      <c r="E15" t="s">
        <v>20</v>
      </c>
      <c r="F15">
        <v>0.5</v>
      </c>
      <c r="G15">
        <v>0.2</v>
      </c>
      <c r="H15">
        <f>SQRT(Tableau1[[#This Row],[Ufe]]^2+Tableau1[[#This Row],[Udata]]^2)</f>
        <v>0.53851648071345048</v>
      </c>
      <c r="I15">
        <v>3</v>
      </c>
      <c r="J15">
        <f>B15*D15*Tableau1[[#This Row],[Upost]]</f>
        <v>292.95296550811707</v>
      </c>
      <c r="K15" t="s">
        <v>44</v>
      </c>
    </row>
    <row r="16" spans="1:11" x14ac:dyDescent="0.25">
      <c r="A16" t="s">
        <v>23</v>
      </c>
      <c r="B16">
        <v>4800</v>
      </c>
      <c r="C16" t="s">
        <v>24</v>
      </c>
      <c r="D16">
        <v>5.8999999999999999E-3</v>
      </c>
      <c r="E16" t="s">
        <v>30</v>
      </c>
      <c r="F16">
        <v>0.5</v>
      </c>
      <c r="G16">
        <v>0.5</v>
      </c>
      <c r="H16">
        <f>SQRT(Tableau1[[#This Row],[Ufe]]^2+Tableau1[[#This Row],[Udata]]^2)</f>
        <v>0.70710678118654757</v>
      </c>
      <c r="I16">
        <v>3</v>
      </c>
      <c r="J16">
        <f>B16*D16*Tableau1[[#This Row],[Upost]]</f>
        <v>20.025264043203027</v>
      </c>
      <c r="K16" t="s">
        <v>44</v>
      </c>
    </row>
    <row r="17" spans="1:11" x14ac:dyDescent="0.25">
      <c r="A17" t="s">
        <v>25</v>
      </c>
      <c r="B17">
        <f>304567*4</f>
        <v>1218268</v>
      </c>
      <c r="C17" t="s">
        <v>43</v>
      </c>
      <c r="D17">
        <v>4.0299999999999998E-4</v>
      </c>
      <c r="E17" t="s">
        <v>31</v>
      </c>
      <c r="F17">
        <v>0.5</v>
      </c>
      <c r="G17">
        <v>0.2</v>
      </c>
      <c r="H17">
        <f>SQRT(Tableau1[[#This Row],[Ufe]]^2+Tableau1[[#This Row],[Udata]]^2)</f>
        <v>0.53851648071345048</v>
      </c>
      <c r="I17">
        <v>3</v>
      </c>
      <c r="J17">
        <f>B17*D17*Tableau1[[#This Row],[Upost]]</f>
        <v>264.39113055810299</v>
      </c>
      <c r="K17" t="s">
        <v>44</v>
      </c>
    </row>
    <row r="18" spans="1:11" x14ac:dyDescent="0.25">
      <c r="A18" t="s">
        <v>26</v>
      </c>
      <c r="B18">
        <v>37</v>
      </c>
      <c r="C18" s="1" t="s">
        <v>19</v>
      </c>
      <c r="D18">
        <v>156</v>
      </c>
      <c r="E18" t="s">
        <v>20</v>
      </c>
      <c r="F18">
        <v>0.21</v>
      </c>
      <c r="G18">
        <v>0.05</v>
      </c>
      <c r="H18">
        <f>SQRT(Tableau1[[#This Row],[Ufe]]^2+Tableau1[[#This Row],[Udata]]^2)</f>
        <v>0.21587033144922901</v>
      </c>
      <c r="I18">
        <v>3</v>
      </c>
      <c r="J18">
        <f>B18*D18*Tableau1[[#This Row],[Upost]]</f>
        <v>1246.0035531249498</v>
      </c>
      <c r="K18" t="s">
        <v>44</v>
      </c>
    </row>
    <row r="19" spans="1:11" x14ac:dyDescent="0.25">
      <c r="A19" t="s">
        <v>27</v>
      </c>
      <c r="B19">
        <v>4</v>
      </c>
      <c r="C19" t="s">
        <v>19</v>
      </c>
      <c r="D19">
        <v>276</v>
      </c>
      <c r="E19" t="s">
        <v>20</v>
      </c>
      <c r="F19">
        <v>0.21</v>
      </c>
      <c r="G19">
        <v>0.05</v>
      </c>
      <c r="H19">
        <f>SQRT(Tableau1[[#This Row],[Ufe]]^2+Tableau1[[#This Row],[Udata]]^2)</f>
        <v>0.21587033144922901</v>
      </c>
      <c r="I19">
        <v>3</v>
      </c>
      <c r="J19">
        <f>B19*D19*Tableau1[[#This Row],[Upost]]</f>
        <v>238.32084591994882</v>
      </c>
      <c r="K19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LAFOND HUBER</dc:creator>
  <cp:lastModifiedBy>Bernardo UZIEL VIEIRALVES DE CASTRO</cp:lastModifiedBy>
  <dcterms:created xsi:type="dcterms:W3CDTF">2026-10-08T09:05:21Z</dcterms:created>
  <dcterms:modified xsi:type="dcterms:W3CDTF">2026-10-08T09:53:11Z</dcterms:modified>
</cp:coreProperties>
</file>